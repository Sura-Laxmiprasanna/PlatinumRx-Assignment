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0490" windowHeight="7530" activeTab="1"/>
  </bookViews>
  <sheets>
    <sheet name="tickets" sheetId="1" r:id="rId1"/>
    <sheet name="feedback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H10" i="1"/>
  <c r="I3" i="1"/>
  <c r="H3" i="1"/>
  <c r="I2" i="1"/>
  <c r="H2" i="1"/>
  <c r="F5" i="1" l="1"/>
  <c r="G3" i="1"/>
  <c r="G4" i="1"/>
  <c r="G5" i="1"/>
  <c r="G6" i="1"/>
  <c r="G7" i="1"/>
  <c r="G8" i="1"/>
  <c r="G9" i="1"/>
  <c r="G10" i="1"/>
  <c r="G11" i="1"/>
  <c r="G12" i="1"/>
  <c r="G2" i="1"/>
  <c r="D3" i="2"/>
  <c r="D4" i="2"/>
  <c r="D5" i="2"/>
  <c r="D6" i="2"/>
  <c r="D7" i="2"/>
  <c r="D8" i="2"/>
  <c r="D9" i="2"/>
  <c r="D10" i="2"/>
  <c r="D11" i="2"/>
  <c r="D12" i="2"/>
  <c r="F3" i="1"/>
  <c r="F4" i="1"/>
  <c r="F6" i="1"/>
  <c r="F7" i="1"/>
  <c r="F8" i="1"/>
  <c r="F9" i="1"/>
  <c r="F10" i="1"/>
  <c r="F11" i="1"/>
  <c r="F12" i="1"/>
  <c r="F2" i="1"/>
  <c r="D2" i="2" l="1"/>
</calcChain>
</file>

<file path=xl/sharedStrings.xml><?xml version="1.0" encoding="utf-8"?>
<sst xmlns="http://schemas.openxmlformats.org/spreadsheetml/2006/main" count="57" uniqueCount="35">
  <si>
    <t>ticket_id</t>
  </si>
  <si>
    <t>created_at</t>
  </si>
  <si>
    <t>closed_at</t>
  </si>
  <si>
    <t>outlet_id</t>
  </si>
  <si>
    <t>cms_id</t>
  </si>
  <si>
    <t>isu-sjd-457</t>
  </si>
  <si>
    <t>wrqy-juv-978</t>
  </si>
  <si>
    <t>vew-iuvd-12</t>
  </si>
  <si>
    <t>qer-fal-092</t>
  </si>
  <si>
    <t>8woh-k3u-23b</t>
  </si>
  <si>
    <t>vew-iuvd-13</t>
  </si>
  <si>
    <t>feedback_at</t>
  </si>
  <si>
    <t>feedback_rating</t>
  </si>
  <si>
    <t>ticket_created_at</t>
  </si>
  <si>
    <t>same day</t>
  </si>
  <si>
    <t>Same Hour?</t>
  </si>
  <si>
    <t>xzt-lop-321</t>
  </si>
  <si>
    <t>vew-iuvd-14</t>
  </si>
  <si>
    <t>abc-xyz-111</t>
  </si>
  <si>
    <t>vew-iuvd-15</t>
  </si>
  <si>
    <t>def-uvw-222</t>
  </si>
  <si>
    <t>vew-iuvd-16</t>
  </si>
  <si>
    <t>ghi-rst-333</t>
  </si>
  <si>
    <t>vew-iuvd-17</t>
  </si>
  <si>
    <t>jkl-opq-444</t>
  </si>
  <si>
    <t>zxc-vbn-456</t>
  </si>
  <si>
    <t>vew-iuvd-18</t>
  </si>
  <si>
    <t>mno-lmn-555</t>
  </si>
  <si>
    <t>vew-iuvd-19</t>
  </si>
  <si>
    <t>pqr-hjk-666</t>
  </si>
  <si>
    <t>vew-iuvd-20</t>
  </si>
  <si>
    <t>vew-iuvd-21</t>
  </si>
  <si>
    <t>vew-iuvd-22</t>
  </si>
  <si>
    <t>same day count</t>
  </si>
  <si>
    <t>same hour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</si>
</sst>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1" fillId="0" borderId="0" xfId="0" applyFont="1"/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I11" sqref="I11"/>
    </sheetView>
  </sheetViews>
  <sheetFormatPr defaultRowHeight="15" x14ac:dyDescent="0.25"/>
  <cols>
    <col min="1" max="1" width="15.7109375" customWidth="1"/>
    <col min="2" max="2" width="26.42578125" customWidth="1"/>
    <col min="3" max="3" width="21.5703125" customWidth="1"/>
    <col min="4" max="4" width="16.7109375" customWidth="1"/>
    <col min="5" max="5" width="17.7109375" customWidth="1"/>
    <col min="6" max="6" width="12.28515625" customWidth="1"/>
    <col min="7" max="7" width="12.5703125" customWidth="1"/>
    <col min="8" max="8" width="15.140625" customWidth="1"/>
    <col min="9" max="9" width="16.140625" customWidth="1"/>
  </cols>
  <sheetData>
    <row r="1" spans="1:9" ht="45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15</v>
      </c>
      <c r="H1" s="1" t="s">
        <v>33</v>
      </c>
      <c r="I1" s="1" t="s">
        <v>34</v>
      </c>
    </row>
    <row r="2" spans="1:9" x14ac:dyDescent="0.25">
      <c r="A2" s="2" t="s">
        <v>5</v>
      </c>
      <c r="B2" s="3">
        <v>44427.698414351849</v>
      </c>
      <c r="C2" s="3">
        <v>44430.523287037038</v>
      </c>
      <c r="D2" s="2" t="s">
        <v>6</v>
      </c>
      <c r="E2" s="2" t="s">
        <v>7</v>
      </c>
      <c r="F2" t="b">
        <f>INT(B2)=INT(C2)</f>
        <v>0</v>
      </c>
      <c r="G2" t="b">
        <f>AND(INT(B2)=INT(C2), HOUR(B2)=HOUR(C2))</f>
        <v>0</v>
      </c>
      <c r="H2">
        <f>COUNTIFS(D:D,"wrqy-juv-978",F:F,TRUE)</f>
        <v>2</v>
      </c>
      <c r="I2">
        <f>COUNTIFS(D:D,"wrqy-juv-978",G:G,TRUE)</f>
        <v>1</v>
      </c>
    </row>
    <row r="3" spans="1:9" ht="21" customHeight="1" x14ac:dyDescent="0.25">
      <c r="A3" s="2" t="s">
        <v>8</v>
      </c>
      <c r="B3" s="3">
        <v>44429.464837962965</v>
      </c>
      <c r="C3" s="3">
        <v>44429.717881944445</v>
      </c>
      <c r="D3" s="2" t="s">
        <v>9</v>
      </c>
      <c r="E3" s="2" t="s">
        <v>10</v>
      </c>
      <c r="F3" t="b">
        <f t="shared" ref="F3:F12" si="0">INT(B3)=INT(C3)</f>
        <v>1</v>
      </c>
      <c r="G3" t="b">
        <f t="shared" ref="G3:G12" si="1">AND(INT(B3)=INT(C3), HOUR(B3)=HOUR(C3))</f>
        <v>0</v>
      </c>
      <c r="H3">
        <f>COUNTIFS(D:D,"8woh-k3u-23b",F:F,TRUE)</f>
        <v>3</v>
      </c>
      <c r="I3">
        <f>COUNTIFS(D:D,"8woh-k3u-23b",G:G,TRUE)</f>
        <v>1</v>
      </c>
    </row>
    <row r="4" spans="1:9" x14ac:dyDescent="0.25">
      <c r="A4" s="2" t="s">
        <v>5</v>
      </c>
      <c r="B4" s="3">
        <v>44427.416666666664</v>
      </c>
      <c r="C4" s="3">
        <v>44427.4375</v>
      </c>
      <c r="D4" s="2" t="s">
        <v>6</v>
      </c>
      <c r="E4" s="2" t="s">
        <v>31</v>
      </c>
      <c r="F4" t="b">
        <f t="shared" si="0"/>
        <v>1</v>
      </c>
      <c r="G4" t="b">
        <f t="shared" si="1"/>
        <v>1</v>
      </c>
    </row>
    <row r="5" spans="1:9" x14ac:dyDescent="0.25">
      <c r="A5" s="2" t="s">
        <v>8</v>
      </c>
      <c r="B5" s="3">
        <v>44427.458333333336</v>
      </c>
      <c r="C5" s="3">
        <v>44427.5</v>
      </c>
      <c r="D5" s="2" t="s">
        <v>6</v>
      </c>
      <c r="E5" s="2" t="s">
        <v>32</v>
      </c>
      <c r="F5" t="b">
        <f>INT(B5)=INT(C5)</f>
        <v>1</v>
      </c>
      <c r="G5" t="b">
        <f t="shared" si="1"/>
        <v>0</v>
      </c>
    </row>
    <row r="6" spans="1:9" x14ac:dyDescent="0.25">
      <c r="A6" s="2" t="s">
        <v>16</v>
      </c>
      <c r="B6" s="3">
        <v>44427.541666666664</v>
      </c>
      <c r="C6" s="3">
        <v>44428.5625</v>
      </c>
      <c r="D6" s="2" t="s">
        <v>6</v>
      </c>
      <c r="E6" s="2" t="s">
        <v>17</v>
      </c>
      <c r="F6" t="b">
        <f t="shared" si="0"/>
        <v>0</v>
      </c>
      <c r="G6" t="b">
        <f t="shared" si="1"/>
        <v>0</v>
      </c>
    </row>
    <row r="7" spans="1:9" x14ac:dyDescent="0.25">
      <c r="A7" s="2" t="s">
        <v>18</v>
      </c>
      <c r="B7" s="3">
        <v>44428.375</v>
      </c>
      <c r="C7" s="3">
        <v>44428.385416666664</v>
      </c>
      <c r="D7" s="2" t="s">
        <v>9</v>
      </c>
      <c r="E7" s="2" t="s">
        <v>19</v>
      </c>
      <c r="F7" t="b">
        <f t="shared" si="0"/>
        <v>1</v>
      </c>
      <c r="G7" t="b">
        <f t="shared" si="1"/>
        <v>1</v>
      </c>
    </row>
    <row r="8" spans="1:9" x14ac:dyDescent="0.25">
      <c r="A8" s="2" t="s">
        <v>20</v>
      </c>
      <c r="B8" s="3">
        <v>44428.416666666664</v>
      </c>
      <c r="C8" s="3">
        <v>44428.479166666664</v>
      </c>
      <c r="D8" s="2" t="s">
        <v>9</v>
      </c>
      <c r="E8" s="2" t="s">
        <v>21</v>
      </c>
      <c r="F8" t="b">
        <f t="shared" si="0"/>
        <v>1</v>
      </c>
      <c r="G8" t="b">
        <f t="shared" si="1"/>
        <v>0</v>
      </c>
    </row>
    <row r="9" spans="1:9" x14ac:dyDescent="0.25">
      <c r="A9" s="2" t="s">
        <v>22</v>
      </c>
      <c r="B9" s="3">
        <v>44428.5</v>
      </c>
      <c r="C9" s="3">
        <v>44429.520833333336</v>
      </c>
      <c r="D9" s="2" t="s">
        <v>9</v>
      </c>
      <c r="E9" s="2" t="s">
        <v>23</v>
      </c>
      <c r="F9" t="b">
        <f t="shared" si="0"/>
        <v>0</v>
      </c>
      <c r="G9" t="b">
        <f t="shared" si="1"/>
        <v>0</v>
      </c>
    </row>
    <row r="10" spans="1:9" x14ac:dyDescent="0.25">
      <c r="A10" s="2" t="s">
        <v>24</v>
      </c>
      <c r="B10" s="3">
        <v>44429.583333333336</v>
      </c>
      <c r="C10" s="3">
        <v>44429.590277777781</v>
      </c>
      <c r="D10" s="2" t="s">
        <v>25</v>
      </c>
      <c r="E10" s="2" t="s">
        <v>26</v>
      </c>
      <c r="F10" t="b">
        <f t="shared" si="0"/>
        <v>1</v>
      </c>
      <c r="G10" t="b">
        <f t="shared" si="1"/>
        <v>1</v>
      </c>
      <c r="H10">
        <f>COUNTIFS(D:D,"zxc-vbn-456",F:F,TRUE)</f>
        <v>2</v>
      </c>
      <c r="I10">
        <f>COUNTIFS(D:D,"zxc-vbn-456",G:G,TRUE)</f>
        <v>1</v>
      </c>
    </row>
    <row r="11" spans="1:9" x14ac:dyDescent="0.25">
      <c r="A11" s="2" t="s">
        <v>27</v>
      </c>
      <c r="B11" s="3">
        <v>44429.625</v>
      </c>
      <c r="C11" s="3">
        <v>44429.666666666664</v>
      </c>
      <c r="D11" s="2" t="s">
        <v>25</v>
      </c>
      <c r="E11" s="2" t="s">
        <v>28</v>
      </c>
      <c r="F11" t="b">
        <f t="shared" si="0"/>
        <v>1</v>
      </c>
      <c r="G11" t="b">
        <f t="shared" si="1"/>
        <v>0</v>
      </c>
    </row>
    <row r="12" spans="1:9" x14ac:dyDescent="0.25">
      <c r="A12" s="2" t="s">
        <v>29</v>
      </c>
      <c r="B12" s="3">
        <v>44429.708333333336</v>
      </c>
      <c r="C12" s="3">
        <v>44430.75</v>
      </c>
      <c r="D12" s="2" t="s">
        <v>25</v>
      </c>
      <c r="E12" s="2" t="s">
        <v>30</v>
      </c>
      <c r="F12" t="b">
        <f t="shared" si="0"/>
        <v>0</v>
      </c>
      <c r="G12" t="b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D2" sqref="D2"/>
    </sheetView>
  </sheetViews>
  <sheetFormatPr defaultRowHeight="15" x14ac:dyDescent="0.25"/>
  <cols>
    <col min="1" max="1" width="24.5703125" customWidth="1"/>
    <col min="2" max="2" width="28.5703125" customWidth="1"/>
    <col min="3" max="3" width="23" customWidth="1"/>
    <col min="4" max="4" width="27" style="7" customWidth="1"/>
  </cols>
  <sheetData>
    <row r="1" spans="1:4" x14ac:dyDescent="0.25">
      <c r="A1" s="1" t="s">
        <v>4</v>
      </c>
      <c r="B1" s="1" t="s">
        <v>11</v>
      </c>
      <c r="C1" s="1" t="s">
        <v>12</v>
      </c>
      <c r="D1" s="5" t="s">
        <v>13</v>
      </c>
    </row>
    <row r="2" spans="1:4" x14ac:dyDescent="0.25">
      <c r="A2" s="2" t="s">
        <v>7</v>
      </c>
      <c r="B2" s="3">
        <v>44429.560277777775</v>
      </c>
      <c r="C2" s="2">
        <v>3</v>
      </c>
      <c r="D2" s="6">
        <f>INDEX(tickets!B:B, MATCH(A2, tickets!E:E, 0))</f>
        <v>44427.698414351849</v>
      </c>
    </row>
    <row r="3" spans="1:4" x14ac:dyDescent="0.25">
      <c r="A3" s="2" t="s">
        <v>10</v>
      </c>
      <c r="B3" s="3">
        <v>44429.583333333336</v>
      </c>
      <c r="C3" s="2">
        <v>4</v>
      </c>
      <c r="D3" s="6">
        <f>INDEX(tickets!B:B, MATCH(A3, tickets!E:E, 0))</f>
        <v>44429.464837962965</v>
      </c>
    </row>
    <row r="4" spans="1:4" x14ac:dyDescent="0.25">
      <c r="A4" s="2" t="s">
        <v>31</v>
      </c>
      <c r="B4" s="3">
        <v>44427.458333333336</v>
      </c>
      <c r="C4" s="2">
        <v>3</v>
      </c>
      <c r="D4" s="6">
        <f>INDEX(tickets!B:B, MATCH(A4, tickets!E:E, 0))</f>
        <v>44427.416666666664</v>
      </c>
    </row>
    <row r="5" spans="1:4" x14ac:dyDescent="0.25">
      <c r="A5" s="2" t="s">
        <v>32</v>
      </c>
      <c r="B5" s="3">
        <v>44427.520833333336</v>
      </c>
      <c r="C5" s="2">
        <v>4</v>
      </c>
      <c r="D5" s="6">
        <f>INDEX(tickets!B:B, MATCH(A5, tickets!E:E, 0))</f>
        <v>44427.458333333336</v>
      </c>
    </row>
    <row r="6" spans="1:4" x14ac:dyDescent="0.25">
      <c r="A6" s="2" t="s">
        <v>17</v>
      </c>
      <c r="B6" s="3">
        <v>44428.583333333336</v>
      </c>
      <c r="C6" s="2">
        <v>2</v>
      </c>
      <c r="D6" s="6">
        <f>INDEX(tickets!B:B, MATCH(A6, tickets!E:E, 0))</f>
        <v>44427.541666666664</v>
      </c>
    </row>
    <row r="7" spans="1:4" x14ac:dyDescent="0.25">
      <c r="A7" s="2" t="s">
        <v>19</v>
      </c>
      <c r="B7" s="3">
        <v>44428.416666666664</v>
      </c>
      <c r="C7" s="2">
        <v>5</v>
      </c>
      <c r="D7" s="6">
        <f>INDEX(tickets!B:B, MATCH(A7, tickets!E:E, 0))</f>
        <v>44428.375</v>
      </c>
    </row>
    <row r="8" spans="1:4" x14ac:dyDescent="0.25">
      <c r="A8" s="2" t="s">
        <v>21</v>
      </c>
      <c r="B8" s="3">
        <v>44428.5</v>
      </c>
      <c r="C8" s="2">
        <v>4</v>
      </c>
      <c r="D8" s="6">
        <f>INDEX(tickets!B:B, MATCH(A8, tickets!E:E, 0))</f>
        <v>44428.416666666664</v>
      </c>
    </row>
    <row r="9" spans="1:4" x14ac:dyDescent="0.25">
      <c r="A9" s="2" t="s">
        <v>23</v>
      </c>
      <c r="B9" s="3">
        <v>44429.541666666664</v>
      </c>
      <c r="C9" s="2">
        <v>3</v>
      </c>
      <c r="D9" s="6">
        <f>INDEX(tickets!B:B, MATCH(A9, tickets!E:E, 0))</f>
        <v>44428.5</v>
      </c>
    </row>
    <row r="10" spans="1:4" x14ac:dyDescent="0.25">
      <c r="A10" s="2" t="s">
        <v>26</v>
      </c>
      <c r="B10" s="3">
        <v>44429.625</v>
      </c>
      <c r="C10" s="2">
        <v>5</v>
      </c>
      <c r="D10" s="6">
        <f>INDEX(tickets!B:B, MATCH(A10, tickets!E:E, 0))</f>
        <v>44429.583333333336</v>
      </c>
    </row>
    <row r="11" spans="1:4" x14ac:dyDescent="0.25">
      <c r="A11" s="2" t="s">
        <v>28</v>
      </c>
      <c r="B11" s="3">
        <v>44429.708333333336</v>
      </c>
      <c r="C11" s="2">
        <v>4</v>
      </c>
      <c r="D11" s="6">
        <f>INDEX(tickets!B:B, MATCH(A11, tickets!E:E, 0))</f>
        <v>44429.625</v>
      </c>
    </row>
    <row r="12" spans="1:4" x14ac:dyDescent="0.25">
      <c r="A12" s="2" t="s">
        <v>30</v>
      </c>
      <c r="B12" s="3">
        <v>44430.791666666664</v>
      </c>
      <c r="C12" s="2">
        <v>2</v>
      </c>
      <c r="D12" s="6">
        <f>INDEX(tickets!B:B, MATCH(A12, tickets!E:E, 0))</f>
        <v>44429.708333333336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tickets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2026-04-08T17:33:19Z</dcterms:created>
  <dcterms:modified xsi:type="dcterms:W3CDTF">2026-04-09T09:45:42Z</dcterms:modified>
</cp:coreProperties>
</file>